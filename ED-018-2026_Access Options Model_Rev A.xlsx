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Endura Group\Endura Decommissioning\4.0 Clients\ED-018 Sugar Terminals Limited (STL)\2.0 Scope and deliverables\3.0 Rev A Deliverable\Rev A-1\"/>
    </mc:Choice>
  </mc:AlternateContent>
  <xr:revisionPtr revIDLastSave="0" documentId="13_ncr:1_{C6642E3E-5F31-4136-B08D-62485C1D5DF1}" xr6:coauthVersionLast="47" xr6:coauthVersionMax="47" xr10:uidLastSave="{00000000-0000-0000-0000-000000000000}"/>
  <bookViews>
    <workbookView xWindow="-110" yWindow="-110" windowWidth="23260" windowHeight="14860" tabRatio="500" xr2:uid="{00000000-000D-0000-FFFF-FFFF00000000}"/>
  </bookViews>
  <sheets>
    <sheet name="Options" sheetId="1" r:id="rId1"/>
    <sheet name="Inputs" sheetId="2" r:id="rId2"/>
    <sheet name="Sensitivity" sheetId="3" r:id="rId3"/>
    <sheet name="Lever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3" l="1"/>
  <c r="B15" i="3"/>
  <c r="B14" i="3"/>
  <c r="B13" i="3"/>
  <c r="B12" i="3"/>
  <c r="F8" i="3"/>
  <c r="G8" i="3" s="1"/>
  <c r="D8" i="3"/>
  <c r="E8" i="3" s="1"/>
  <c r="F7" i="3"/>
  <c r="G7" i="3" s="1"/>
  <c r="D7" i="3"/>
  <c r="E7" i="3" s="1"/>
  <c r="F6" i="3"/>
  <c r="G6" i="3" s="1"/>
  <c r="D6" i="3"/>
  <c r="E6" i="3" s="1"/>
  <c r="F5" i="3"/>
  <c r="G5" i="3" s="1"/>
  <c r="D5" i="3"/>
  <c r="E5" i="3" s="1"/>
  <c r="B38" i="2"/>
  <c r="C24" i="1"/>
  <c r="C14" i="1"/>
  <c r="B14" i="1"/>
  <c r="C9" i="1"/>
  <c r="B9" i="1"/>
  <c r="B8" i="1"/>
  <c r="C7" i="1"/>
  <c r="B7" i="1"/>
  <c r="B10" i="1" s="1"/>
  <c r="B13" i="1" s="1"/>
  <c r="B15" i="1" s="1"/>
  <c r="C6" i="1"/>
  <c r="C8" i="1" s="1"/>
  <c r="C31" i="1" l="1"/>
  <c r="B31" i="1"/>
  <c r="B16" i="1"/>
  <c r="B18" i="1"/>
  <c r="B19" i="1"/>
  <c r="B22" i="1"/>
  <c r="B23" i="1"/>
  <c r="B17" i="1"/>
  <c r="C10" i="1"/>
  <c r="C13" i="1" s="1"/>
  <c r="C15" i="1" s="1"/>
  <c r="C23" i="1" l="1"/>
  <c r="C22" i="1"/>
  <c r="C19" i="1"/>
  <c r="C18" i="1"/>
  <c r="C17" i="1"/>
  <c r="C16" i="1"/>
  <c r="B25" i="1"/>
  <c r="B30" i="1"/>
  <c r="B29" i="1"/>
  <c r="B28" i="1"/>
  <c r="B32" i="1" s="1"/>
  <c r="B33" i="1" l="1"/>
  <c r="B34" i="1" s="1"/>
  <c r="C30" i="1"/>
  <c r="C25" i="1"/>
  <c r="C29" i="1"/>
  <c r="C28" i="1"/>
  <c r="B35" i="1" l="1"/>
  <c r="C32" i="1"/>
  <c r="C33" i="1" l="1"/>
  <c r="C34" i="1" s="1"/>
  <c r="C36" i="1" l="1"/>
  <c r="C35" i="1"/>
</calcChain>
</file>

<file path=xl/sharedStrings.xml><?xml version="1.0" encoding="utf-8"?>
<sst xmlns="http://schemas.openxmlformats.org/spreadsheetml/2006/main" count="211" uniqueCount="203">
  <si>
    <t>Option 1 base case against Option 2 optimised, night shift on trades</t>
  </si>
  <si>
    <t>Both options use the same trade content, the same crews and the same rates. Only the access arrangement differs.</t>
  </si>
  <si>
    <t>OPTION 1  Base case
Day shift only, as Draft A</t>
  </si>
  <si>
    <t>Note</t>
  </si>
  <si>
    <t>THE CYCLE</t>
  </si>
  <si>
    <t>Trade shifts worked per calendar day</t>
  </si>
  <si>
    <t>Option 2 adds a night shift on the trades only, derated for night productivity</t>
  </si>
  <si>
    <t>Effective access days per bent</t>
  </si>
  <si>
    <t>Moves are daylight only in both options. Platform is floating during a move, so it carries the floating availability</t>
  </si>
  <si>
    <t>Effective trade days per bent</t>
  </si>
  <si>
    <t>Once lifted and transferred onto positive ties the platform is a fixed suspended platform, so trade work carries the fixed availability</t>
  </si>
  <si>
    <t>Approval hold days</t>
  </si>
  <si>
    <t>Removed in both options if the repair library is agreed under contract Appendix J</t>
  </si>
  <si>
    <t>EFFECTIVE CYCLE, days per bent</t>
  </si>
  <si>
    <t>THE FLEET</t>
  </si>
  <si>
    <t>Bents per week, one front</t>
  </si>
  <si>
    <t>Bents per week required</t>
  </si>
  <si>
    <t>227 bents across the two available seasons</t>
  </si>
  <si>
    <t>WORK FRONTS REQUIRED</t>
  </si>
  <si>
    <t>One front = two floating stage halves working one bent</t>
  </si>
  <si>
    <t>Stage halves in the water</t>
  </si>
  <si>
    <t>Supplier holds five platforms today. The balance is the fleet build, still POA</t>
  </si>
  <si>
    <t>Chain blocks required</t>
  </si>
  <si>
    <t>Four Kito 2 t per front</t>
  </si>
  <si>
    <t>Clamp sets rigged (working plus one bent ahead)</t>
  </si>
  <si>
    <t>Campaign weeks</t>
  </si>
  <si>
    <t>HEADCOUNT</t>
  </si>
  <si>
    <t>Trade heads on shift (contractor's cost, not ours)</t>
  </si>
  <si>
    <t>Five trades per face. Option 2 runs two crews per front. Total trade person-shifts is identical at 227 x 7 x 5 = 7,945</t>
  </si>
  <si>
    <t>Access crew, day shift</t>
  </si>
  <si>
    <t>Riggers, scaffolders, coxswains. A fleet crew, not a per front crew</t>
  </si>
  <si>
    <t>Access crew, night shift</t>
  </si>
  <si>
    <t>Option 2 only. No moves, no lifting, no man riding at night. Rescue capability and permit control still required</t>
  </si>
  <si>
    <t>Total on site</t>
  </si>
  <si>
    <t>ACCESS COST, our scope only</t>
  </si>
  <si>
    <t>Access kit</t>
  </si>
  <si>
    <t>Marine base, operating</t>
  </si>
  <si>
    <t>Largest single line. Rate conflict unresolved</t>
  </si>
  <si>
    <t>Access labour</t>
  </si>
  <si>
    <t>Charged on campaign weeks, not productive shifts</t>
  </si>
  <si>
    <t>Fixed access lines</t>
  </si>
  <si>
    <t>Identical in both options</t>
  </si>
  <si>
    <t>Subtotal</t>
  </si>
  <si>
    <t>Contingency</t>
  </si>
  <si>
    <t>AACE Class 5</t>
  </si>
  <si>
    <t>ACCESS TOTAL</t>
  </si>
  <si>
    <t>Access cost per bent</t>
  </si>
  <si>
    <t>Saving of Option 2 against Option 1</t>
  </si>
  <si>
    <t>WHAT ELSE CHANGES</t>
  </si>
  <si>
    <t>Marine risk exposure</t>
  </si>
  <si>
    <t>Moves, lifting and man riding in daylight only</t>
  </si>
  <si>
    <t>Unchanged. No moves, no lifting, no man riding at night. Night work is trade work on a platform already lifted and tied off, accessed from the jetty deck</t>
  </si>
  <si>
    <t>Option 2 does not add marine risk, it adds hours on a static platform</t>
  </si>
  <si>
    <t>Rescue over water</t>
  </si>
  <si>
    <t>Day only</t>
  </si>
  <si>
    <t>Required at night as well. The one marine duty that does not go away</t>
  </si>
  <si>
    <t>Cost carried in the night standby crew above</t>
  </si>
  <si>
    <t>Recoat window</t>
  </si>
  <si>
    <t>Blast and first coat can fall either side of a night, risking flash rust and rework</t>
  </si>
  <si>
    <t>Blast runs into first coat across the day and night boundary, inside the window</t>
  </si>
  <si>
    <t>The incumbent record already shows defects found after blast, reblast and touch up</t>
  </si>
  <si>
    <t>Fabrication lead time</t>
  </si>
  <si>
    <t>More halves to build before a March 2027 mobilisation</t>
  </si>
  <si>
    <t>Fewer halves. This is the largest programme benefit, not the cost saving</t>
  </si>
  <si>
    <t>Fleet build is still POA in both options</t>
  </si>
  <si>
    <t>Accommodation, Ingham</t>
  </si>
  <si>
    <t>Fewer beds</t>
  </si>
  <si>
    <t>More beds, and two shift patterns to roster</t>
  </si>
  <si>
    <t>Trade contractor's cost, but STL will ask</t>
  </si>
  <si>
    <t>Light spill, marine park</t>
  </si>
  <si>
    <t>Not applicable</t>
  </si>
  <si>
    <t>GBRMPA question. The encapsulated habitat contains most of it</t>
  </si>
  <si>
    <t>Raise in the approvals pathway</t>
  </si>
  <si>
    <t>Before Option 2 goes to STL, verify: (1) that night work is a choice and not a prohibition under the contract, MSQ, the port authority or GBRMPA, since Draft A states it as a site constraint; (2) the night rescue and medevac arrangement; (3) light spill against the marine park conditions; (4) that the coating supplier supports night application.</t>
  </si>
  <si>
    <t>ED-018-2026-06 Access Options Model, Rev A</t>
  </si>
  <si>
    <t>Lucinda jetty remediation. Two access options compared on one basis. Access scope only: trade works are held at the contractor's own durations, crews and rates and are not re-priced.</t>
  </si>
  <si>
    <t>Blue cells are inputs you may change. Yellow cells are unconfirmed with the owner named. Everything else is formula.</t>
  </si>
  <si>
    <t>Input</t>
  </si>
  <si>
    <t>Value</t>
  </si>
  <si>
    <t>Unit</t>
  </si>
  <si>
    <t>Source and confidence</t>
  </si>
  <si>
    <t>Priority bents</t>
  </si>
  <si>
    <t>ea</t>
  </si>
  <si>
    <t>Contract Appendix D priority scope. Planning basis pending the STL bent register</t>
  </si>
  <si>
    <t>Available weeks</t>
  </si>
  <si>
    <t>wk</t>
  </si>
  <si>
    <t>Two 26 week seasons less 1.6 ship call weeks</t>
  </si>
  <si>
    <t>Working days per week</t>
  </si>
  <si>
    <t>d</t>
  </si>
  <si>
    <t>No Sundays, no seventh day</t>
  </si>
  <si>
    <t>Access (move) shifts per bent</t>
  </si>
  <si>
    <t>sh</t>
  </si>
  <si>
    <t>Supplier stated: move on 1, move off 1</t>
  </si>
  <si>
    <t>Trade shifts per bent</t>
  </si>
  <si>
    <t>Contractor programme, held identical in both options</t>
  </si>
  <si>
    <t>Approval hold</t>
  </si>
  <si>
    <t>Contractor programme column</t>
  </si>
  <si>
    <t>Repair library agreed (1 yes, 0 no)</t>
  </si>
  <si>
    <t>flag</t>
  </si>
  <si>
    <t>STL decision under contract Appendix J. VERIFY the clause carries the mechanism</t>
  </si>
  <si>
    <t>Availability: platform floating, during moves</t>
  </si>
  <si>
    <t>Marine review: floating plant 60 to 80 percent Mar to Nov</t>
  </si>
  <si>
    <t>Availability: platform fixed on positive ties, trade work</t>
  </si>
  <si>
    <t>Marine review: fixed suspended platforms 80 to 90 percent</t>
  </si>
  <si>
    <t>Night crew productivity vs day</t>
  </si>
  <si>
    <t>Estimate, declared. Option 2 only</t>
  </si>
  <si>
    <t>Access crew per front</t>
  </si>
  <si>
    <t>heads</t>
  </si>
  <si>
    <t>12 heads at 9 fronts: riggers, scaffolders, coxswains. Day shift only</t>
  </si>
  <si>
    <t>Night standby crew: rescue coxswain and crew, permit officer</t>
  </si>
  <si>
    <t>Option 2 only. Required, not optional: crews work over water at night</t>
  </si>
  <si>
    <t>Head day cost</t>
  </si>
  <si>
    <t>$/d</t>
  </si>
  <si>
    <t>$150/h x 10 h plus $350 LAFHA and remote, GGC rate card</t>
  </si>
  <si>
    <t>ABH SeaLift 6 via T Glenister 20 Aug. CONFLICTS with $32,000/month on file</t>
  </si>
  <si>
    <t>Access kit per front</t>
  </si>
  <si>
    <t>$/front-wk</t>
  </si>
  <si>
    <t>Basis: winch set 2,500 + pontoons 1,400 + module 1,500</t>
  </si>
  <si>
    <t>AACE Class 5 screening</t>
  </si>
  <si>
    <t>Fixed access lines, identical in both options</t>
  </si>
  <si>
    <t>Line</t>
  </si>
  <si>
    <t>$</t>
  </si>
  <si>
    <t>Clamp and suspension certification, lift plans, man-riding certs</t>
  </si>
  <si>
    <t>Supplier scope, two engineers</t>
  </si>
  <si>
    <t>Approvals, inductions, VOCs, first-fit PPE, access crew</t>
  </si>
  <si>
    <t>Card 6.1</t>
  </si>
  <si>
    <t>Blastclad containment skin, $350 x 227 bents</t>
  </si>
  <si>
    <t>Containment is part of the platform</t>
  </si>
  <si>
    <t>Assemble and proof load each front</t>
  </si>
  <si>
    <t>3 riggers and leading hand, 1 shift per front</t>
  </si>
  <si>
    <t>Marine mobilisation, tow in, establish</t>
  </si>
  <si>
    <t>Timing dependent</t>
  </si>
  <si>
    <t>Kit haulage, 8 semis</t>
  </si>
  <si>
    <t>Crawler POA</t>
  </si>
  <si>
    <t>Rescue proof and cyclone recovery drill</t>
  </si>
  <si>
    <t>Gate before the fleet grows</t>
  </si>
  <si>
    <t>Trial bent proven to the Superintendent</t>
  </si>
  <si>
    <t>Calibrates the true cycle</t>
  </si>
  <si>
    <t>Marine standby through the wet season</t>
  </si>
  <si>
    <t>26 wk at half rate. TBC line by line</t>
  </si>
  <si>
    <t>Kit standby through the wet season</t>
  </si>
  <si>
    <t>Electrical and vehicles off site</t>
  </si>
  <si>
    <t>Workboat and vehicles</t>
  </si>
  <si>
    <t>Does not reconcile to Basis rates, see comment schedule</t>
  </si>
  <si>
    <t>Demobilise marine and kit</t>
  </si>
  <si>
    <t>Records, MDR, DLP allowance</t>
  </si>
  <si>
    <t>Contract 8.1.0</t>
  </si>
  <si>
    <t>Subtotal, fixed access lines</t>
  </si>
  <si>
    <t>Not priced in either option: fleet build or hire (Activity 2.1, POA, five platforms exist), marine hull and P&amp;I insurances, GBRMPA and MSQ permits, port charges, accommodation, escalation from August 2026 money.</t>
  </si>
  <si>
    <t>Does the answer move? Fronts required under each availability scenario</t>
  </si>
  <si>
    <t>This is the case for Option 2. Option 1 swings by five fronts across the range; Option 2 holds.</t>
  </si>
  <si>
    <t>Scenario</t>
  </si>
  <si>
    <t>Floating availability (moves)</t>
  </si>
  <si>
    <t>Fixed availability (trade)</t>
  </si>
  <si>
    <t>Opt 1 cycle, days</t>
  </si>
  <si>
    <t>Opt 1 FRONTS</t>
  </si>
  <si>
    <t>Opt 2 cycle, days</t>
  </si>
  <si>
    <t>Opt 2 FRONTS</t>
  </si>
  <si>
    <t>Marine review, pessimistic</t>
  </si>
  <si>
    <t>Marine review, mid (model base)</t>
  </si>
  <si>
    <t>Marine review, optimistic</t>
  </si>
  <si>
    <t>Draft A blanket 0.85</t>
  </si>
  <si>
    <t>Other stresses on Option 2 (mid availability unless stated)</t>
  </si>
  <si>
    <t>Stress</t>
  </si>
  <si>
    <t>Opt 2 fronts</t>
  </si>
  <si>
    <t>Night crew only 80 percent as productive</t>
  </si>
  <si>
    <t>Marine moves take 3 days, not 2</t>
  </si>
  <si>
    <t>Repair library NOT agreed</t>
  </si>
  <si>
    <t>Scope is 257 bents, not 227</t>
  </si>
  <si>
    <t>Pessimistic availability AND no library</t>
  </si>
  <si>
    <t>A recommendation that holds still when the metocean lands is worth more to a risk averse board than a lower number that moves.</t>
  </si>
  <si>
    <t>Cost optimisation levers, Option 2 base</t>
  </si>
  <si>
    <t>None of these is claimed in the reported $15.0M. Each is banked only when its verification lands. Blue cells are the lever assumptions.</t>
  </si>
  <si>
    <t>Lever</t>
  </si>
  <si>
    <t>Assumption</t>
  </si>
  <si>
    <t>Saving (incl 25% contingency)</t>
  </si>
  <si>
    <t>Verification owner</t>
  </si>
  <si>
    <t>Marine base: moored spud flat top vs manned jack up</t>
  </si>
  <si>
    <t>$3,000/day vs $10,000/day, 44.5 wks x 7 days</t>
  </si>
  <si>
    <t>Tim G / ABH quote in writing</t>
  </si>
  <si>
    <t>Wet season off-hire vs half-rate standby</t>
  </si>
  <si>
    <t>$250,000 remob lump vs $1,385,800 standby</t>
  </si>
  <si>
    <t>Supplier off-hire terms; season 2 availability</t>
  </si>
  <si>
    <t>Night rescue reclassification (upside only)</t>
  </si>
  <si>
    <t>2-head night standby crew stood down; fixed workplace ruling</t>
  </si>
  <si>
    <t>Safety case + regulator; keep in base until cleared</t>
  </si>
  <si>
    <t>Contingency step down at award</t>
  </si>
  <si>
    <t>25% to 15% on firmed subtotal</t>
  </si>
  <si>
    <t>Class 4 estimate at award</t>
  </si>
  <si>
    <t>Packages</t>
  </si>
  <si>
    <t>Package</t>
  </si>
  <si>
    <t>Access total</t>
  </si>
  <si>
    <t>Vs $9.3M contract access allowance</t>
  </si>
  <si>
    <t>Reported base, Option 2</t>
  </si>
  <si>
    <t>+$5.7M</t>
  </si>
  <si>
    <t>Credible: spud + off-hire</t>
  </si>
  <si>
    <t>+$1.5M</t>
  </si>
  <si>
    <t>Stretch: + rescue reclassification</t>
  </si>
  <si>
    <t>+$0.3M</t>
  </si>
  <si>
    <t>Stretch at 15% contingency</t>
  </si>
  <si>
    <t>below the allowance</t>
  </si>
  <si>
    <t>Also assessed: shoulder weeks are weather float, not savings (smaller fleet stretches marine base duration). Single season variant, 11 fronts in 2027 alone: saves about $3.95M operating against ~10 extra stage halves to build (POA) and buys a year of float; price when the fleet build lands. Kit buy vs hire breakeven: about $320,000 per front.</t>
  </si>
  <si>
    <t>OPTION 2  Optimised
Trades day &amp; night, platforms move in daylight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</si>
</sst>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$#,##0"/>
  </numFmts>
  <fonts count="17" x14ac:knownFonts="1">
    <font>
      <sz val="11"/>
      <color theme="1"/>
      <name val="Calibri"/>
      <family val="2"/>
      <charset val="1"/>
    </font>
    <font>
      <b/>
      <sz val="14"/>
      <color rgb="FF1A1A1A"/>
      <name val="Georgia"/>
      <charset val="1"/>
    </font>
    <font>
      <sz val="10"/>
      <color rgb="FF8C8C8C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sz val="10"/>
      <color rgb="FF0000FF"/>
      <name val="Arial"/>
      <charset val="1"/>
    </font>
    <font>
      <sz val="9"/>
      <color rgb="FF8C8C8C"/>
      <name val="Arial"/>
      <charset val="1"/>
    </font>
    <font>
      <b/>
      <sz val="10"/>
      <color rgb="FF1A1A1A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sz val="9"/>
      <color rgb="FF1A1A1A"/>
      <name val="Arial"/>
      <charset val="1"/>
    </font>
    <font>
      <i/>
      <sz val="10"/>
      <color rgb="FFE87722"/>
      <name val="Arial"/>
      <charset val="1"/>
    </font>
    <font>
      <i/>
      <sz val="9"/>
      <color rgb="FF8C8C8C"/>
      <name val="Arial"/>
      <charset val="1"/>
    </font>
    <font>
      <b/>
      <sz val="12"/>
      <color rgb="FF1A1A1A"/>
      <name val="Georgia"/>
      <charset val="1"/>
    </font>
    <font>
      <b/>
      <sz val="13"/>
      <color rgb="FF1A1A1A"/>
      <name val="Georgia"/>
      <charset val="1"/>
    </font>
    <font>
      <i/>
      <sz val="10"/>
      <color rgb="FF1A1A1A"/>
      <name val="Arial"/>
      <charset val="1"/>
    </font>
    <font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8C8C8C"/>
        <bgColor rgb="FF878787"/>
      </patternFill>
    </fill>
    <fill>
      <patternFill patternType="solid">
        <fgColor rgb="FFFAF7F1"/>
        <bgColor rgb="FFFFFFFF"/>
      </patternFill>
    </fill>
    <fill>
      <patternFill patternType="solid">
        <fgColor rgb="FFE87722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CE4C8"/>
        <bgColor rgb="FFFAF7F1"/>
      </patternFill>
    </fill>
    <fill>
      <patternFill patternType="solid">
        <fgColor rgb="FFD9EAD3"/>
        <bgColor rgb="FFD9D9D9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5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9" fontId="5" fillId="0" borderId="1" xfId="0" applyNumberFormat="1" applyFont="1" applyBorder="1"/>
    <xf numFmtId="0" fontId="13" fillId="0" borderId="0" xfId="0" applyFont="1"/>
    <xf numFmtId="0" fontId="14" fillId="0" borderId="0" xfId="0" applyFont="1"/>
    <xf numFmtId="2" fontId="4" fillId="0" borderId="1" xfId="0" applyNumberFormat="1" applyFont="1" applyBorder="1"/>
    <xf numFmtId="1" fontId="7" fillId="7" borderId="1" xfId="0" applyNumberFormat="1" applyFont="1" applyFill="1" applyBorder="1"/>
    <xf numFmtId="1" fontId="7" fillId="8" borderId="1" xfId="0" applyNumberFormat="1" applyFont="1" applyFill="1" applyBorder="1"/>
    <xf numFmtId="1" fontId="7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6" fontId="7" fillId="0" borderId="1" xfId="0" applyNumberFormat="1" applyFont="1" applyBorder="1" applyAlignment="1">
      <alignment vertical="top" wrapText="1"/>
    </xf>
    <xf numFmtId="166" fontId="7" fillId="0" borderId="1" xfId="0" applyNumberFormat="1" applyFont="1" applyBorder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4" fillId="0" borderId="1" xfId="0" applyFont="1" applyBorder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6" borderId="1" xfId="0" applyFont="1" applyFill="1" applyBorder="1" applyAlignment="1">
      <alignment wrapText="1"/>
    </xf>
    <xf numFmtId="9" fontId="5" fillId="6" borderId="1" xfId="0" applyNumberFormat="1" applyFont="1" applyFill="1" applyBorder="1" applyAlignment="1">
      <alignment wrapText="1"/>
    </xf>
    <xf numFmtId="166" fontId="5" fillId="0" borderId="1" xfId="0" applyNumberFormat="1" applyFont="1" applyBorder="1" applyAlignment="1">
      <alignment wrapText="1"/>
    </xf>
    <xf numFmtId="166" fontId="5" fillId="6" borderId="1" xfId="0" applyNumberFormat="1" applyFont="1" applyFill="1" applyBorder="1" applyAlignment="1">
      <alignment wrapText="1"/>
    </xf>
    <xf numFmtId="9" fontId="5" fillId="0" borderId="1" xfId="0" applyNumberFormat="1" applyFont="1" applyBorder="1" applyAlignment="1">
      <alignment wrapText="1"/>
    </xf>
    <xf numFmtId="0" fontId="1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 applyAlignment="1">
      <alignment wrapText="1"/>
    </xf>
    <xf numFmtId="166" fontId="7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6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2" fontId="5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2" fontId="7" fillId="4" borderId="1" xfId="0" applyNumberFormat="1" applyFont="1" applyFill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1" fontId="8" fillId="5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1" fontId="5" fillId="0" borderId="1" xfId="0" applyNumberFormat="1" applyFont="1" applyBorder="1" applyAlignment="1">
      <alignment horizontal="center" wrapText="1"/>
    </xf>
    <xf numFmtId="1" fontId="7" fillId="4" borderId="1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wrapText="1"/>
    </xf>
    <xf numFmtId="166" fontId="7" fillId="0" borderId="1" xfId="0" applyNumberFormat="1" applyFont="1" applyBorder="1" applyAlignment="1">
      <alignment horizontal="center" wrapText="1"/>
    </xf>
    <xf numFmtId="166" fontId="8" fillId="5" borderId="1" xfId="0" applyNumberFormat="1" applyFont="1" applyFill="1" applyBorder="1" applyAlignment="1">
      <alignment horizontal="center" wrapText="1"/>
    </xf>
    <xf numFmtId="166" fontId="9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AF7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C8"/>
      <rgbColor rgb="FF3366FF"/>
      <rgbColor rgb="FF33CCCC"/>
      <rgbColor rgb="FF99CC00"/>
      <rgbColor rgb="FFFFCC00"/>
      <rgbColor rgb="FFFF9900"/>
      <rgbColor rgb="FFE87722"/>
      <rgbColor rgb="FF4F81BD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Work fronts required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Options!$A$15</c:f>
              <c:strCache>
                <c:ptCount val="1"/>
                <c:pt idx="0">
                  <c:v>WORK FRONTS REQUIRED</c:v>
                </c:pt>
              </c:strCache>
            </c:strRef>
          </c:cat>
          <c:val>
            <c:numRef>
              <c:f>Options!$B$15</c:f>
              <c:numCache>
                <c:formatCode>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0-4DB9-9D3E-F360081A814E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Options!$A$15</c:f>
              <c:strCache>
                <c:ptCount val="1"/>
                <c:pt idx="0">
                  <c:v>WORK FRONTS REQUIRED</c:v>
                </c:pt>
              </c:strCache>
            </c:strRef>
          </c:cat>
          <c:val>
            <c:numRef>
              <c:f>Options!$C$15</c:f>
              <c:numCache>
                <c:formatCode>0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0-4DB9-9D3E-F360081A8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18430"/>
        <c:axId val="56405047"/>
      </c:barChart>
      <c:catAx>
        <c:axId val="22418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405047"/>
        <c:crosses val="autoZero"/>
        <c:auto val="1"/>
        <c:lblAlgn val="ctr"/>
        <c:lblOffset val="100"/>
        <c:noMultiLvlLbl val="0"/>
      </c:catAx>
      <c:valAx>
        <c:axId val="564050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18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215900</xdr:colOff>
      <xdr:row>3</xdr:row>
      <xdr:rowOff>563860</xdr:rowOff>
    </xdr:from>
    <xdr:to>
      <xdr:col>10</xdr:col>
      <xdr:colOff>506420</xdr:colOff>
      <xdr:row>12</xdr:row>
      <xdr:rowOff>131920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Normal="100" workbookViewId="0">
      <selection activeCell="E16" sqref="E16"/>
    </sheetView>
  </sheetViews>
  <sheetFormatPr defaultColWidth="8.6328125" defaultRowHeight="14.5" x14ac:dyDescent="0.35"/>
  <cols>
    <col min="1" max="1" width="46" style="26" customWidth="1"/>
    <col min="2" max="2" width="30" style="26" customWidth="1"/>
    <col min="3" max="3" width="34" style="26" customWidth="1"/>
    <col min="4" max="4" width="46.54296875" style="26" customWidth="1"/>
    <col min="5" max="16384" width="8.6328125" style="26"/>
  </cols>
  <sheetData>
    <row r="1" spans="1:4" ht="35" x14ac:dyDescent="0.35">
      <c r="A1" s="25" t="s">
        <v>0</v>
      </c>
    </row>
    <row r="2" spans="1:4" x14ac:dyDescent="0.35">
      <c r="A2" s="27" t="s">
        <v>1</v>
      </c>
      <c r="B2" s="27"/>
      <c r="C2" s="27"/>
      <c r="D2" s="27"/>
    </row>
    <row r="4" spans="1:4" ht="45.75" customHeight="1" x14ac:dyDescent="0.35">
      <c r="A4" s="3"/>
      <c r="B4" s="3" t="s">
        <v>2</v>
      </c>
      <c r="C4" s="3" t="s">
        <v>202</v>
      </c>
      <c r="D4" s="3" t="s">
        <v>3</v>
      </c>
    </row>
    <row r="5" spans="1:4" x14ac:dyDescent="0.35">
      <c r="A5" s="44" t="s">
        <v>4</v>
      </c>
      <c r="B5" s="45"/>
      <c r="C5" s="45"/>
      <c r="D5" s="45"/>
    </row>
    <row r="6" spans="1:4" ht="23" x14ac:dyDescent="0.35">
      <c r="A6" s="28" t="s">
        <v>5</v>
      </c>
      <c r="B6" s="46">
        <v>1</v>
      </c>
      <c r="C6" s="47">
        <f>1+Inputs!$B$15</f>
        <v>1.95</v>
      </c>
      <c r="D6" s="5" t="s">
        <v>6</v>
      </c>
    </row>
    <row r="7" spans="1:4" ht="23" x14ac:dyDescent="0.35">
      <c r="A7" s="28" t="s">
        <v>7</v>
      </c>
      <c r="B7" s="47">
        <f>Inputs!$B$9/Inputs!$B$13</f>
        <v>2.8571428571428572</v>
      </c>
      <c r="C7" s="47">
        <f>Inputs!$B$9/Inputs!$B$13</f>
        <v>2.8571428571428572</v>
      </c>
      <c r="D7" s="5" t="s">
        <v>8</v>
      </c>
    </row>
    <row r="8" spans="1:4" ht="34.5" x14ac:dyDescent="0.35">
      <c r="A8" s="28" t="s">
        <v>9</v>
      </c>
      <c r="B8" s="47">
        <f>(Inputs!$B$10/B6)/Inputs!$B$14</f>
        <v>8.2352941176470598</v>
      </c>
      <c r="C8" s="47">
        <f>(Inputs!$B$10/C6)/Inputs!$B$14</f>
        <v>4.2232277526395174</v>
      </c>
      <c r="D8" s="5" t="s">
        <v>10</v>
      </c>
    </row>
    <row r="9" spans="1:4" ht="23" x14ac:dyDescent="0.35">
      <c r="A9" s="28" t="s">
        <v>11</v>
      </c>
      <c r="B9" s="48">
        <f>Inputs!$B$11*(1-Inputs!$B$12)</f>
        <v>0</v>
      </c>
      <c r="C9" s="48">
        <f>Inputs!$B$11*(1-Inputs!$B$12)</f>
        <v>0</v>
      </c>
      <c r="D9" s="5" t="s">
        <v>12</v>
      </c>
    </row>
    <row r="10" spans="1:4" x14ac:dyDescent="0.35">
      <c r="A10" s="38" t="s">
        <v>13</v>
      </c>
      <c r="B10" s="49">
        <f>B7+B8+B9</f>
        <v>11.092436974789917</v>
      </c>
      <c r="C10" s="49">
        <f>C7+C8+C9</f>
        <v>7.0803706097823742</v>
      </c>
      <c r="D10" s="6"/>
    </row>
    <row r="12" spans="1:4" x14ac:dyDescent="0.35">
      <c r="A12" s="44" t="s">
        <v>14</v>
      </c>
      <c r="B12" s="45"/>
      <c r="C12" s="45"/>
      <c r="D12" s="45"/>
    </row>
    <row r="13" spans="1:4" x14ac:dyDescent="0.35">
      <c r="A13" s="28" t="s">
        <v>15</v>
      </c>
      <c r="B13" s="50">
        <f>Inputs!$B$8/B10</f>
        <v>0.54090909090909078</v>
      </c>
      <c r="C13" s="50">
        <f>Inputs!$B$8/C10</f>
        <v>0.84741326841144249</v>
      </c>
      <c r="D13" s="5"/>
    </row>
    <row r="14" spans="1:4" x14ac:dyDescent="0.35">
      <c r="A14" s="28" t="s">
        <v>16</v>
      </c>
      <c r="B14" s="47">
        <f>Inputs!$B$6/Inputs!$B$7</f>
        <v>4.503968253968254</v>
      </c>
      <c r="C14" s="47">
        <f>Inputs!$B$6/Inputs!$B$7</f>
        <v>4.503968253968254</v>
      </c>
      <c r="D14" s="5" t="s">
        <v>17</v>
      </c>
    </row>
    <row r="15" spans="1:4" x14ac:dyDescent="0.35">
      <c r="A15" s="51" t="s">
        <v>18</v>
      </c>
      <c r="B15" s="52">
        <f>ROUNDUP(B14/B13,0)</f>
        <v>9</v>
      </c>
      <c r="C15" s="52">
        <f>ROUNDUP(C14/C13,0)</f>
        <v>6</v>
      </c>
      <c r="D15" s="43" t="s">
        <v>19</v>
      </c>
    </row>
    <row r="16" spans="1:4" ht="23" x14ac:dyDescent="0.35">
      <c r="A16" s="28" t="s">
        <v>20</v>
      </c>
      <c r="B16" s="53">
        <f>B15*2</f>
        <v>18</v>
      </c>
      <c r="C16" s="53">
        <f>C15*2</f>
        <v>12</v>
      </c>
      <c r="D16" s="5" t="s">
        <v>21</v>
      </c>
    </row>
    <row r="17" spans="1:4" x14ac:dyDescent="0.35">
      <c r="A17" s="28" t="s">
        <v>22</v>
      </c>
      <c r="B17" s="53">
        <f>B15*4</f>
        <v>36</v>
      </c>
      <c r="C17" s="53">
        <f>C15*4</f>
        <v>24</v>
      </c>
      <c r="D17" s="5" t="s">
        <v>23</v>
      </c>
    </row>
    <row r="18" spans="1:4" x14ac:dyDescent="0.35">
      <c r="A18" s="28" t="s">
        <v>24</v>
      </c>
      <c r="B18" s="53">
        <f>B15*2</f>
        <v>18</v>
      </c>
      <c r="C18" s="53">
        <f>C15*2</f>
        <v>12</v>
      </c>
      <c r="D18" s="5"/>
    </row>
    <row r="19" spans="1:4" x14ac:dyDescent="0.35">
      <c r="A19" s="28" t="s">
        <v>25</v>
      </c>
      <c r="B19" s="48">
        <f>MIN(Inputs!$B$7,Inputs!$B$6/(B15*B13))</f>
        <v>46.629318394024288</v>
      </c>
      <c r="C19" s="48">
        <f>MIN(Inputs!$B$7,Inputs!$B$6/(C15*C13))</f>
        <v>44.645670233905527</v>
      </c>
      <c r="D19" s="5"/>
    </row>
    <row r="21" spans="1:4" x14ac:dyDescent="0.35">
      <c r="A21" s="44" t="s">
        <v>26</v>
      </c>
      <c r="B21" s="45"/>
      <c r="C21" s="45"/>
      <c r="D21" s="45"/>
    </row>
    <row r="22" spans="1:4" ht="23" x14ac:dyDescent="0.35">
      <c r="A22" s="28" t="s">
        <v>27</v>
      </c>
      <c r="B22" s="53">
        <f>B15*5</f>
        <v>45</v>
      </c>
      <c r="C22" s="53">
        <f>C15*5*2</f>
        <v>60</v>
      </c>
      <c r="D22" s="5" t="s">
        <v>28</v>
      </c>
    </row>
    <row r="23" spans="1:4" ht="23" x14ac:dyDescent="0.35">
      <c r="A23" s="28" t="s">
        <v>29</v>
      </c>
      <c r="B23" s="53">
        <f>ROUNDUP(B15*Inputs!$B$16,0)</f>
        <v>12</v>
      </c>
      <c r="C23" s="53">
        <f>ROUNDUP(C15*Inputs!$B$16,0)</f>
        <v>8</v>
      </c>
      <c r="D23" s="5" t="s">
        <v>30</v>
      </c>
    </row>
    <row r="24" spans="1:4" ht="23" x14ac:dyDescent="0.35">
      <c r="A24" s="28" t="s">
        <v>31</v>
      </c>
      <c r="B24" s="54">
        <v>0</v>
      </c>
      <c r="C24" s="53">
        <f>Inputs!$B$17</f>
        <v>2</v>
      </c>
      <c r="D24" s="5" t="s">
        <v>32</v>
      </c>
    </row>
    <row r="25" spans="1:4" x14ac:dyDescent="0.35">
      <c r="A25" s="38" t="s">
        <v>33</v>
      </c>
      <c r="B25" s="55">
        <f>B22+B23+B24</f>
        <v>57</v>
      </c>
      <c r="C25" s="55">
        <f>C22+C23+C24</f>
        <v>70</v>
      </c>
      <c r="D25" s="6"/>
    </row>
    <row r="27" spans="1:4" x14ac:dyDescent="0.35">
      <c r="A27" s="44" t="s">
        <v>34</v>
      </c>
      <c r="B27" s="45"/>
      <c r="C27" s="45"/>
      <c r="D27" s="45"/>
    </row>
    <row r="28" spans="1:4" x14ac:dyDescent="0.35">
      <c r="A28" s="28" t="s">
        <v>35</v>
      </c>
      <c r="B28" s="56">
        <f>Inputs!$B$20*B15*B19</f>
        <v>2266184.8739495804</v>
      </c>
      <c r="C28" s="56">
        <f>Inputs!$B$20*C15*C19</f>
        <v>1446519.7155785391</v>
      </c>
      <c r="D28" s="5"/>
    </row>
    <row r="29" spans="1:4" x14ac:dyDescent="0.35">
      <c r="A29" s="28" t="s">
        <v>36</v>
      </c>
      <c r="B29" s="56">
        <f>Inputs!$B$19*7*B19</f>
        <v>3264052.2875817004</v>
      </c>
      <c r="C29" s="56">
        <f>Inputs!$B$19*7*C19</f>
        <v>3125196.916373387</v>
      </c>
      <c r="D29" s="5" t="s">
        <v>37</v>
      </c>
    </row>
    <row r="30" spans="1:4" x14ac:dyDescent="0.35">
      <c r="A30" s="28" t="s">
        <v>38</v>
      </c>
      <c r="B30" s="56">
        <f>(B23+B24)*Inputs!$B$8*B19*Inputs!$B$18</f>
        <v>6211025.2100840351</v>
      </c>
      <c r="C30" s="56">
        <f>(C23+C24)*Inputs!$B$8*C19*Inputs!$B$18</f>
        <v>4955669.3959635133</v>
      </c>
      <c r="D30" s="5" t="s">
        <v>39</v>
      </c>
    </row>
    <row r="31" spans="1:4" x14ac:dyDescent="0.35">
      <c r="A31" s="28" t="s">
        <v>40</v>
      </c>
      <c r="B31" s="56">
        <f>Inputs!$B$38</f>
        <v>2480709</v>
      </c>
      <c r="C31" s="56">
        <f>Inputs!$B$38</f>
        <v>2480709</v>
      </c>
      <c r="D31" s="5" t="s">
        <v>41</v>
      </c>
    </row>
    <row r="32" spans="1:4" x14ac:dyDescent="0.35">
      <c r="A32" s="57" t="s">
        <v>42</v>
      </c>
      <c r="B32" s="58">
        <f>SUM(B28:B31)</f>
        <v>14221971.371615317</v>
      </c>
      <c r="C32" s="58">
        <f>SUM(C28:C31)</f>
        <v>12008095.02791544</v>
      </c>
      <c r="D32" s="5"/>
    </row>
    <row r="33" spans="1:4" x14ac:dyDescent="0.35">
      <c r="A33" s="28" t="s">
        <v>43</v>
      </c>
      <c r="B33" s="56">
        <f>B32*Inputs!$B$21</f>
        <v>3555492.8429038292</v>
      </c>
      <c r="C33" s="56">
        <f>C32*Inputs!$B$21</f>
        <v>3002023.7569788601</v>
      </c>
      <c r="D33" s="5" t="s">
        <v>44</v>
      </c>
    </row>
    <row r="34" spans="1:4" x14ac:dyDescent="0.35">
      <c r="A34" s="51" t="s">
        <v>45</v>
      </c>
      <c r="B34" s="59">
        <f>B32+B33</f>
        <v>17777464.214519147</v>
      </c>
      <c r="C34" s="59">
        <f>C32+C33</f>
        <v>15010118.784894301</v>
      </c>
      <c r="D34" s="7"/>
    </row>
    <row r="35" spans="1:4" x14ac:dyDescent="0.35">
      <c r="A35" s="28" t="s">
        <v>46</v>
      </c>
      <c r="B35" s="56">
        <f>B34/Inputs!$B$6</f>
        <v>78314.820328278176</v>
      </c>
      <c r="C35" s="56">
        <f>C34/Inputs!$B$6</f>
        <v>66123.871299093837</v>
      </c>
      <c r="D35" s="5"/>
    </row>
    <row r="36" spans="1:4" x14ac:dyDescent="0.35">
      <c r="A36" s="57" t="s">
        <v>47</v>
      </c>
      <c r="B36" s="60"/>
      <c r="C36" s="58">
        <f>B34-C34</f>
        <v>2767345.4296248462</v>
      </c>
      <c r="D36" s="5"/>
    </row>
    <row r="38" spans="1:4" x14ac:dyDescent="0.35">
      <c r="A38" s="44" t="s">
        <v>48</v>
      </c>
      <c r="B38" s="45"/>
      <c r="C38" s="45"/>
      <c r="D38" s="45"/>
    </row>
    <row r="39" spans="1:4" ht="52" customHeight="1" x14ac:dyDescent="0.35">
      <c r="A39" s="9" t="s">
        <v>49</v>
      </c>
      <c r="B39" s="10" t="s">
        <v>50</v>
      </c>
      <c r="C39" s="10" t="s">
        <v>51</v>
      </c>
      <c r="D39" s="5" t="s">
        <v>52</v>
      </c>
    </row>
    <row r="40" spans="1:4" ht="42" customHeight="1" x14ac:dyDescent="0.35">
      <c r="A40" s="9" t="s">
        <v>53</v>
      </c>
      <c r="B40" s="10" t="s">
        <v>54</v>
      </c>
      <c r="C40" s="10" t="s">
        <v>55</v>
      </c>
      <c r="D40" s="5" t="s">
        <v>56</v>
      </c>
    </row>
    <row r="41" spans="1:4" ht="42" customHeight="1" x14ac:dyDescent="0.35">
      <c r="A41" s="9" t="s">
        <v>57</v>
      </c>
      <c r="B41" s="10" t="s">
        <v>58</v>
      </c>
      <c r="C41" s="10" t="s">
        <v>59</v>
      </c>
      <c r="D41" s="5" t="s">
        <v>60</v>
      </c>
    </row>
    <row r="42" spans="1:4" ht="42" customHeight="1" x14ac:dyDescent="0.35">
      <c r="A42" s="9" t="s">
        <v>61</v>
      </c>
      <c r="B42" s="10" t="s">
        <v>62</v>
      </c>
      <c r="C42" s="10" t="s">
        <v>63</v>
      </c>
      <c r="D42" s="5" t="s">
        <v>64</v>
      </c>
    </row>
    <row r="43" spans="1:4" ht="42" customHeight="1" x14ac:dyDescent="0.35">
      <c r="A43" s="9" t="s">
        <v>65</v>
      </c>
      <c r="B43" s="10" t="s">
        <v>66</v>
      </c>
      <c r="C43" s="10" t="s">
        <v>67</v>
      </c>
      <c r="D43" s="5" t="s">
        <v>68</v>
      </c>
    </row>
    <row r="44" spans="1:4" ht="42" customHeight="1" x14ac:dyDescent="0.35">
      <c r="A44" s="9" t="s">
        <v>69</v>
      </c>
      <c r="B44" s="10" t="s">
        <v>70</v>
      </c>
      <c r="C44" s="10" t="s">
        <v>71</v>
      </c>
      <c r="D44" s="5" t="s">
        <v>72</v>
      </c>
    </row>
    <row r="46" spans="1:4" ht="33.5" customHeight="1" x14ac:dyDescent="0.35">
      <c r="A46" s="22" t="s">
        <v>73</v>
      </c>
      <c r="B46" s="22"/>
      <c r="C46" s="22"/>
      <c r="D46" s="22"/>
    </row>
  </sheetData>
  <mergeCells count="2">
    <mergeCell ref="A2:D2"/>
    <mergeCell ref="A46:D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14" zoomScaleNormal="100" workbookViewId="0">
      <selection activeCell="H14" sqref="H14"/>
    </sheetView>
  </sheetViews>
  <sheetFormatPr defaultColWidth="8.6328125" defaultRowHeight="14.5" x14ac:dyDescent="0.35"/>
  <cols>
    <col min="1" max="1" width="52" style="26" customWidth="1"/>
    <col min="2" max="2" width="15" style="26" customWidth="1"/>
    <col min="3" max="3" width="13" style="26" customWidth="1"/>
    <col min="4" max="4" width="71.6328125" style="26" customWidth="1"/>
    <col min="5" max="16384" width="8.6328125" style="26"/>
  </cols>
  <sheetData>
    <row r="1" spans="1:4" ht="35" x14ac:dyDescent="0.35">
      <c r="A1" s="25" t="s">
        <v>74</v>
      </c>
    </row>
    <row r="2" spans="1:4" ht="27.75" customHeight="1" x14ac:dyDescent="0.35">
      <c r="A2" s="27" t="s">
        <v>75</v>
      </c>
      <c r="B2" s="27"/>
      <c r="C2" s="27"/>
      <c r="D2" s="27"/>
    </row>
    <row r="3" spans="1:4" x14ac:dyDescent="0.35">
      <c r="A3" s="23" t="s">
        <v>76</v>
      </c>
      <c r="B3" s="23"/>
      <c r="C3" s="23"/>
      <c r="D3" s="23"/>
    </row>
    <row r="5" spans="1:4" ht="30" customHeight="1" x14ac:dyDescent="0.35">
      <c r="A5" s="3" t="s">
        <v>77</v>
      </c>
      <c r="B5" s="3" t="s">
        <v>78</v>
      </c>
      <c r="C5" s="41" t="s">
        <v>79</v>
      </c>
      <c r="D5" s="3" t="s">
        <v>80</v>
      </c>
    </row>
    <row r="6" spans="1:4" x14ac:dyDescent="0.35">
      <c r="A6" s="28" t="s">
        <v>81</v>
      </c>
      <c r="B6" s="29">
        <v>227</v>
      </c>
      <c r="C6" s="42" t="s">
        <v>82</v>
      </c>
      <c r="D6" s="5" t="s">
        <v>83</v>
      </c>
    </row>
    <row r="7" spans="1:4" x14ac:dyDescent="0.35">
      <c r="A7" s="28" t="s">
        <v>84</v>
      </c>
      <c r="B7" s="29">
        <v>50.4</v>
      </c>
      <c r="C7" s="42" t="s">
        <v>85</v>
      </c>
      <c r="D7" s="5" t="s">
        <v>86</v>
      </c>
    </row>
    <row r="8" spans="1:4" x14ac:dyDescent="0.35">
      <c r="A8" s="28" t="s">
        <v>87</v>
      </c>
      <c r="B8" s="29">
        <v>6</v>
      </c>
      <c r="C8" s="42" t="s">
        <v>88</v>
      </c>
      <c r="D8" s="5" t="s">
        <v>89</v>
      </c>
    </row>
    <row r="9" spans="1:4" x14ac:dyDescent="0.35">
      <c r="A9" s="28" t="s">
        <v>90</v>
      </c>
      <c r="B9" s="29">
        <v>2</v>
      </c>
      <c r="C9" s="42" t="s">
        <v>91</v>
      </c>
      <c r="D9" s="5" t="s">
        <v>92</v>
      </c>
    </row>
    <row r="10" spans="1:4" x14ac:dyDescent="0.35">
      <c r="A10" s="28" t="s">
        <v>93</v>
      </c>
      <c r="B10" s="29">
        <v>7</v>
      </c>
      <c r="C10" s="42" t="s">
        <v>91</v>
      </c>
      <c r="D10" s="5" t="s">
        <v>94</v>
      </c>
    </row>
    <row r="11" spans="1:4" x14ac:dyDescent="0.35">
      <c r="A11" s="28" t="s">
        <v>95</v>
      </c>
      <c r="B11" s="29">
        <v>3</v>
      </c>
      <c r="C11" s="42" t="s">
        <v>88</v>
      </c>
      <c r="D11" s="5" t="s">
        <v>96</v>
      </c>
    </row>
    <row r="12" spans="1:4" x14ac:dyDescent="0.35">
      <c r="A12" s="28" t="s">
        <v>97</v>
      </c>
      <c r="B12" s="30">
        <v>1</v>
      </c>
      <c r="C12" s="42" t="s">
        <v>98</v>
      </c>
      <c r="D12" s="5" t="s">
        <v>99</v>
      </c>
    </row>
    <row r="13" spans="1:4" x14ac:dyDescent="0.35">
      <c r="A13" s="28" t="s">
        <v>100</v>
      </c>
      <c r="B13" s="31">
        <v>0.7</v>
      </c>
      <c r="C13" s="42"/>
      <c r="D13" s="5" t="s">
        <v>101</v>
      </c>
    </row>
    <row r="14" spans="1:4" x14ac:dyDescent="0.35">
      <c r="A14" s="28" t="s">
        <v>102</v>
      </c>
      <c r="B14" s="31">
        <v>0.85</v>
      </c>
      <c r="C14" s="42"/>
      <c r="D14" s="5" t="s">
        <v>103</v>
      </c>
    </row>
    <row r="15" spans="1:4" x14ac:dyDescent="0.35">
      <c r="A15" s="28" t="s">
        <v>104</v>
      </c>
      <c r="B15" s="31">
        <v>0.95</v>
      </c>
      <c r="C15" s="42"/>
      <c r="D15" s="5" t="s">
        <v>105</v>
      </c>
    </row>
    <row r="16" spans="1:4" x14ac:dyDescent="0.35">
      <c r="A16" s="28" t="s">
        <v>106</v>
      </c>
      <c r="B16" s="30">
        <v>1.3332999999999999</v>
      </c>
      <c r="C16" s="42" t="s">
        <v>107</v>
      </c>
      <c r="D16" s="5" t="s">
        <v>108</v>
      </c>
    </row>
    <row r="17" spans="1:4" x14ac:dyDescent="0.35">
      <c r="A17" s="28" t="s">
        <v>109</v>
      </c>
      <c r="B17" s="30">
        <v>2</v>
      </c>
      <c r="C17" s="42" t="s">
        <v>107</v>
      </c>
      <c r="D17" s="5" t="s">
        <v>110</v>
      </c>
    </row>
    <row r="18" spans="1:4" x14ac:dyDescent="0.35">
      <c r="A18" s="28" t="s">
        <v>111</v>
      </c>
      <c r="B18" s="32">
        <v>1850</v>
      </c>
      <c r="C18" s="42" t="s">
        <v>112</v>
      </c>
      <c r="D18" s="5" t="s">
        <v>113</v>
      </c>
    </row>
    <row r="19" spans="1:4" x14ac:dyDescent="0.35">
      <c r="A19" s="28" t="s">
        <v>36</v>
      </c>
      <c r="B19" s="33">
        <v>10000</v>
      </c>
      <c r="C19" s="42" t="s">
        <v>112</v>
      </c>
      <c r="D19" s="5" t="s">
        <v>114</v>
      </c>
    </row>
    <row r="20" spans="1:4" x14ac:dyDescent="0.35">
      <c r="A20" s="28" t="s">
        <v>115</v>
      </c>
      <c r="B20" s="32">
        <v>5400</v>
      </c>
      <c r="C20" s="42" t="s">
        <v>116</v>
      </c>
      <c r="D20" s="5" t="s">
        <v>117</v>
      </c>
    </row>
    <row r="21" spans="1:4" x14ac:dyDescent="0.35">
      <c r="A21" s="28" t="s">
        <v>43</v>
      </c>
      <c r="B21" s="34">
        <v>0.25</v>
      </c>
      <c r="C21" s="28"/>
      <c r="D21" s="5" t="s">
        <v>118</v>
      </c>
    </row>
    <row r="23" spans="1:4" ht="15.5" x14ac:dyDescent="0.35">
      <c r="A23" s="35" t="s">
        <v>119</v>
      </c>
    </row>
    <row r="24" spans="1:4" ht="30" customHeight="1" x14ac:dyDescent="0.35">
      <c r="A24" s="3" t="s">
        <v>120</v>
      </c>
      <c r="B24" s="3" t="s">
        <v>121</v>
      </c>
      <c r="C24" s="3"/>
      <c r="D24" s="3" t="s">
        <v>3</v>
      </c>
    </row>
    <row r="25" spans="1:4" x14ac:dyDescent="0.35">
      <c r="A25" s="28" t="s">
        <v>122</v>
      </c>
      <c r="B25" s="32">
        <v>55500</v>
      </c>
      <c r="C25" s="36"/>
      <c r="D25" s="37" t="s">
        <v>123</v>
      </c>
    </row>
    <row r="26" spans="1:4" x14ac:dyDescent="0.35">
      <c r="A26" s="28" t="s">
        <v>124</v>
      </c>
      <c r="B26" s="32">
        <v>27750</v>
      </c>
      <c r="C26" s="36"/>
      <c r="D26" s="37" t="s">
        <v>125</v>
      </c>
    </row>
    <row r="27" spans="1:4" x14ac:dyDescent="0.35">
      <c r="A27" s="28" t="s">
        <v>126</v>
      </c>
      <c r="B27" s="32">
        <v>79450</v>
      </c>
      <c r="C27" s="36"/>
      <c r="D27" s="37" t="s">
        <v>127</v>
      </c>
    </row>
    <row r="28" spans="1:4" x14ac:dyDescent="0.35">
      <c r="A28" s="28" t="s">
        <v>128</v>
      </c>
      <c r="B28" s="32">
        <v>66600</v>
      </c>
      <c r="C28" s="36"/>
      <c r="D28" s="37" t="s">
        <v>129</v>
      </c>
    </row>
    <row r="29" spans="1:4" x14ac:dyDescent="0.35">
      <c r="A29" s="28" t="s">
        <v>130</v>
      </c>
      <c r="B29" s="32">
        <v>148500</v>
      </c>
      <c r="C29" s="36"/>
      <c r="D29" s="37" t="s">
        <v>131</v>
      </c>
    </row>
    <row r="30" spans="1:4" x14ac:dyDescent="0.35">
      <c r="A30" s="28" t="s">
        <v>132</v>
      </c>
      <c r="B30" s="32">
        <v>121500</v>
      </c>
      <c r="C30" s="36"/>
      <c r="D30" s="37" t="s">
        <v>133</v>
      </c>
    </row>
    <row r="31" spans="1:4" x14ac:dyDescent="0.35">
      <c r="A31" s="28" t="s">
        <v>134</v>
      </c>
      <c r="B31" s="32">
        <v>55500</v>
      </c>
      <c r="C31" s="36"/>
      <c r="D31" s="37" t="s">
        <v>135</v>
      </c>
    </row>
    <row r="32" spans="1:4" x14ac:dyDescent="0.35">
      <c r="A32" s="28" t="s">
        <v>136</v>
      </c>
      <c r="B32" s="32">
        <v>155400</v>
      </c>
      <c r="C32" s="36"/>
      <c r="D32" s="37" t="s">
        <v>137</v>
      </c>
    </row>
    <row r="33" spans="1:4" x14ac:dyDescent="0.35">
      <c r="A33" s="28" t="s">
        <v>138</v>
      </c>
      <c r="B33" s="32">
        <v>910000</v>
      </c>
      <c r="C33" s="36"/>
      <c r="D33" s="37" t="s">
        <v>139</v>
      </c>
    </row>
    <row r="34" spans="1:4" x14ac:dyDescent="0.35">
      <c r="A34" s="28" t="s">
        <v>140</v>
      </c>
      <c r="B34" s="32">
        <v>475800</v>
      </c>
      <c r="C34" s="36"/>
      <c r="D34" s="37" t="s">
        <v>141</v>
      </c>
    </row>
    <row r="35" spans="1:4" x14ac:dyDescent="0.35">
      <c r="A35" s="28" t="s">
        <v>142</v>
      </c>
      <c r="B35" s="32">
        <v>216209</v>
      </c>
      <c r="C35" s="36"/>
      <c r="D35" s="37" t="s">
        <v>143</v>
      </c>
    </row>
    <row r="36" spans="1:4" x14ac:dyDescent="0.35">
      <c r="A36" s="28" t="s">
        <v>144</v>
      </c>
      <c r="B36" s="32">
        <v>150000</v>
      </c>
      <c r="C36" s="36"/>
      <c r="D36" s="37" t="s">
        <v>131</v>
      </c>
    </row>
    <row r="37" spans="1:4" x14ac:dyDescent="0.35">
      <c r="A37" s="28" t="s">
        <v>145</v>
      </c>
      <c r="B37" s="32">
        <v>18500</v>
      </c>
      <c r="C37" s="36"/>
      <c r="D37" s="37" t="s">
        <v>146</v>
      </c>
    </row>
    <row r="38" spans="1:4" x14ac:dyDescent="0.35">
      <c r="A38" s="38" t="s">
        <v>147</v>
      </c>
      <c r="B38" s="39">
        <f>SUM(B25:B37)</f>
        <v>2480709</v>
      </c>
      <c r="C38" s="40"/>
      <c r="D38" s="40"/>
    </row>
    <row r="40" spans="1:4" ht="27.75" customHeight="1" x14ac:dyDescent="0.35">
      <c r="A40" s="23" t="s">
        <v>148</v>
      </c>
      <c r="B40" s="23"/>
      <c r="C40" s="23"/>
      <c r="D40" s="23"/>
    </row>
  </sheetData>
  <mergeCells count="3">
    <mergeCell ref="A2:D2"/>
    <mergeCell ref="A3:D3"/>
    <mergeCell ref="A40:D4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zoomScaleNormal="100" workbookViewId="0"/>
  </sheetViews>
  <sheetFormatPr defaultColWidth="8.6328125" defaultRowHeight="14.5" x14ac:dyDescent="0.35"/>
  <cols>
    <col min="1" max="1" width="46" customWidth="1"/>
    <col min="2" max="3" width="18" customWidth="1"/>
    <col min="4" max="4" width="15" customWidth="1"/>
    <col min="5" max="5" width="13" customWidth="1"/>
    <col min="6" max="6" width="15" customWidth="1"/>
    <col min="7" max="7" width="13" customWidth="1"/>
  </cols>
  <sheetData>
    <row r="1" spans="1:7" ht="16.5" x14ac:dyDescent="0.35">
      <c r="A1" s="13" t="s">
        <v>149</v>
      </c>
    </row>
    <row r="2" spans="1:7" x14ac:dyDescent="0.35">
      <c r="A2" s="2" t="s">
        <v>150</v>
      </c>
      <c r="B2" s="2"/>
      <c r="C2" s="2"/>
      <c r="D2" s="2"/>
      <c r="E2" s="2"/>
      <c r="F2" s="2"/>
      <c r="G2" s="2"/>
    </row>
    <row r="4" spans="1:7" ht="30" customHeight="1" x14ac:dyDescent="0.35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</row>
    <row r="5" spans="1:7" x14ac:dyDescent="0.35">
      <c r="A5" s="4" t="s">
        <v>158</v>
      </c>
      <c r="B5" s="11">
        <v>0.6</v>
      </c>
      <c r="C5" s="11">
        <v>0.8</v>
      </c>
      <c r="D5" s="14">
        <f>Inputs!$B$9/B5+(Inputs!$B$10/1)/C5+Inputs!$B$11*(1-Inputs!$B$12)</f>
        <v>12.083333333333334</v>
      </c>
      <c r="E5" s="15">
        <f>ROUNDUP((Inputs!$B$6/Inputs!$B$7)/(Inputs!$B$8/D5),0)</f>
        <v>10</v>
      </c>
      <c r="F5" s="14">
        <f>Inputs!$B$9/B5+(Inputs!$B$10/(1+Inputs!$B$15))/C5+Inputs!$B$11*(1-Inputs!$B$12)</f>
        <v>7.8205128205128212</v>
      </c>
      <c r="G5" s="16">
        <f>ROUNDUP((Inputs!$B$6/Inputs!$B$7)/(Inputs!$B$8/F5),0)</f>
        <v>6</v>
      </c>
    </row>
    <row r="6" spans="1:7" x14ac:dyDescent="0.35">
      <c r="A6" s="4" t="s">
        <v>159</v>
      </c>
      <c r="B6" s="11">
        <v>0.7</v>
      </c>
      <c r="C6" s="11">
        <v>0.85</v>
      </c>
      <c r="D6" s="14">
        <f>Inputs!$B$9/B6+(Inputs!$B$10/1)/C6+Inputs!$B$11*(1-Inputs!$B$12)</f>
        <v>11.092436974789917</v>
      </c>
      <c r="E6" s="15">
        <f>ROUNDUP((Inputs!$B$6/Inputs!$B$7)/(Inputs!$B$8/D6),0)</f>
        <v>9</v>
      </c>
      <c r="F6" s="14">
        <f>Inputs!$B$9/B6+(Inputs!$B$10/(1+Inputs!$B$15))/C6+Inputs!$B$11*(1-Inputs!$B$12)</f>
        <v>7.0803706097823742</v>
      </c>
      <c r="G6" s="16">
        <f>ROUNDUP((Inputs!$B$6/Inputs!$B$7)/(Inputs!$B$8/F6),0)</f>
        <v>6</v>
      </c>
    </row>
    <row r="7" spans="1:7" x14ac:dyDescent="0.35">
      <c r="A7" s="4" t="s">
        <v>160</v>
      </c>
      <c r="B7" s="11">
        <v>0.8</v>
      </c>
      <c r="C7" s="11">
        <v>0.9</v>
      </c>
      <c r="D7" s="14">
        <f>Inputs!$B$9/B7+(Inputs!$B$10/1)/C7+Inputs!$B$11*(1-Inputs!$B$12)</f>
        <v>10.277777777777779</v>
      </c>
      <c r="E7" s="15">
        <f>ROUNDUP((Inputs!$B$6/Inputs!$B$7)/(Inputs!$B$8/D7),0)</f>
        <v>8</v>
      </c>
      <c r="F7" s="14">
        <f>Inputs!$B$9/B7+(Inputs!$B$10/(1+Inputs!$B$15))/C7+Inputs!$B$11*(1-Inputs!$B$12)</f>
        <v>6.4886039886039892</v>
      </c>
      <c r="G7" s="16">
        <f>ROUNDUP((Inputs!$B$6/Inputs!$B$7)/(Inputs!$B$8/F7),0)</f>
        <v>5</v>
      </c>
    </row>
    <row r="8" spans="1:7" x14ac:dyDescent="0.35">
      <c r="A8" s="4" t="s">
        <v>161</v>
      </c>
      <c r="B8" s="11">
        <v>0.85</v>
      </c>
      <c r="C8" s="11">
        <v>0.85</v>
      </c>
      <c r="D8" s="14">
        <f>Inputs!$B$9/B8+(Inputs!$B$10/1)/C8+Inputs!$B$11*(1-Inputs!$B$12)</f>
        <v>10.588235294117649</v>
      </c>
      <c r="E8" s="15">
        <f>ROUNDUP((Inputs!$B$6/Inputs!$B$7)/(Inputs!$B$8/D8),0)</f>
        <v>8</v>
      </c>
      <c r="F8" s="14">
        <f>Inputs!$B$9/B8+(Inputs!$B$10/(1+Inputs!$B$15))/C8+Inputs!$B$11*(1-Inputs!$B$12)</f>
        <v>6.5761689291101053</v>
      </c>
      <c r="G8" s="16">
        <f>ROUNDUP((Inputs!$B$6/Inputs!$B$7)/(Inputs!$B$8/F8),0)</f>
        <v>5</v>
      </c>
    </row>
    <row r="10" spans="1:7" ht="15.5" x14ac:dyDescent="0.35">
      <c r="A10" s="12" t="s">
        <v>162</v>
      </c>
    </row>
    <row r="11" spans="1:7" ht="30" customHeight="1" x14ac:dyDescent="0.35">
      <c r="A11" s="3" t="s">
        <v>163</v>
      </c>
      <c r="B11" s="3" t="s">
        <v>164</v>
      </c>
    </row>
    <row r="12" spans="1:7" x14ac:dyDescent="0.35">
      <c r="A12" s="4" t="s">
        <v>165</v>
      </c>
      <c r="B12" s="17">
        <f>ROUNDUP((227/50.4)/(6/(2/0.7+(7/1.8)/0.85)),0)</f>
        <v>6</v>
      </c>
    </row>
    <row r="13" spans="1:7" x14ac:dyDescent="0.35">
      <c r="A13" s="4" t="s">
        <v>166</v>
      </c>
      <c r="B13" s="17">
        <f>ROUNDUP((227/50.4)/(6/(3/0.7+(7/1.95)/0.85)),0)</f>
        <v>7</v>
      </c>
    </row>
    <row r="14" spans="1:7" x14ac:dyDescent="0.35">
      <c r="A14" s="4" t="s">
        <v>167</v>
      </c>
      <c r="B14" s="17">
        <f>ROUNDUP((227/50.4)/(6/(2/0.7+(7/1.95)/0.85+3)),0)</f>
        <v>8</v>
      </c>
    </row>
    <row r="15" spans="1:7" x14ac:dyDescent="0.35">
      <c r="A15" s="4" t="s">
        <v>168</v>
      </c>
      <c r="B15" s="17">
        <f>ROUNDUP((257/50.4)/(6/(2/0.7+(7/1.95)/0.85)),0)</f>
        <v>7</v>
      </c>
    </row>
    <row r="16" spans="1:7" x14ac:dyDescent="0.35">
      <c r="A16" s="4" t="s">
        <v>169</v>
      </c>
      <c r="B16" s="17">
        <f>ROUNDUP((227/50.4)/(6/(2/0.6+(7/1.95)/0.8+3)),0)</f>
        <v>9</v>
      </c>
    </row>
    <row r="18" spans="1:7" x14ac:dyDescent="0.35">
      <c r="A18" s="1" t="s">
        <v>170</v>
      </c>
      <c r="B18" s="1"/>
      <c r="C18" s="1"/>
      <c r="D18" s="1"/>
      <c r="E18" s="1"/>
      <c r="F18" s="1"/>
      <c r="G18" s="1"/>
    </row>
  </sheetData>
  <mergeCells count="2">
    <mergeCell ref="A2:G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>
      <selection activeCell="B4" sqref="B4"/>
    </sheetView>
  </sheetViews>
  <sheetFormatPr defaultColWidth="8.6328125" defaultRowHeight="14.5" x14ac:dyDescent="0.35"/>
  <cols>
    <col min="1" max="1" width="48" customWidth="1"/>
    <col min="2" max="2" width="44.7265625" customWidth="1"/>
    <col min="3" max="3" width="28.6328125" customWidth="1"/>
    <col min="4" max="4" width="34" customWidth="1"/>
  </cols>
  <sheetData>
    <row r="1" spans="1:6" ht="16.5" x14ac:dyDescent="0.35">
      <c r="A1" s="13" t="s">
        <v>171</v>
      </c>
    </row>
    <row r="2" spans="1:6" x14ac:dyDescent="0.35">
      <c r="A2" s="2" t="s">
        <v>172</v>
      </c>
      <c r="B2" s="2"/>
      <c r="C2" s="2"/>
      <c r="D2" s="2"/>
      <c r="E2" s="2"/>
      <c r="F2" s="2"/>
    </row>
    <row r="4" spans="1:6" ht="30" customHeight="1" x14ac:dyDescent="0.35">
      <c r="A4" s="3" t="s">
        <v>173</v>
      </c>
      <c r="B4" s="3" t="s">
        <v>174</v>
      </c>
      <c r="C4" s="3" t="s">
        <v>175</v>
      </c>
      <c r="D4" s="3" t="s">
        <v>176</v>
      </c>
    </row>
    <row r="5" spans="1:6" ht="30" customHeight="1" x14ac:dyDescent="0.35">
      <c r="A5" s="18" t="s">
        <v>177</v>
      </c>
      <c r="B5" s="19" t="s">
        <v>178</v>
      </c>
      <c r="C5" s="20">
        <v>3522475</v>
      </c>
      <c r="D5" s="5" t="s">
        <v>179</v>
      </c>
    </row>
    <row r="6" spans="1:6" ht="30" customHeight="1" x14ac:dyDescent="0.35">
      <c r="A6" s="18" t="s">
        <v>180</v>
      </c>
      <c r="B6" s="19" t="s">
        <v>181</v>
      </c>
      <c r="C6" s="20">
        <v>1419750</v>
      </c>
      <c r="D6" s="5" t="s">
        <v>182</v>
      </c>
    </row>
    <row r="7" spans="1:6" ht="30" customHeight="1" x14ac:dyDescent="0.35">
      <c r="A7" s="18" t="s">
        <v>183</v>
      </c>
      <c r="B7" s="19" t="s">
        <v>184</v>
      </c>
      <c r="C7" s="20">
        <v>1235147</v>
      </c>
      <c r="D7" s="5" t="s">
        <v>185</v>
      </c>
    </row>
    <row r="8" spans="1:6" ht="30" customHeight="1" x14ac:dyDescent="0.35">
      <c r="A8" s="18" t="s">
        <v>186</v>
      </c>
      <c r="B8" s="19" t="s">
        <v>187</v>
      </c>
      <c r="C8" s="20">
        <v>1197910</v>
      </c>
      <c r="D8" s="5" t="s">
        <v>188</v>
      </c>
    </row>
    <row r="10" spans="1:6" ht="15.5" x14ac:dyDescent="0.35">
      <c r="A10" s="12" t="s">
        <v>189</v>
      </c>
    </row>
    <row r="11" spans="1:6" ht="30" customHeight="1" x14ac:dyDescent="0.35">
      <c r="A11" s="3" t="s">
        <v>190</v>
      </c>
      <c r="B11" s="3" t="s">
        <v>191</v>
      </c>
      <c r="C11" s="3" t="s">
        <v>192</v>
      </c>
    </row>
    <row r="12" spans="1:6" x14ac:dyDescent="0.35">
      <c r="A12" s="4" t="s">
        <v>193</v>
      </c>
      <c r="B12" s="21">
        <v>14973876</v>
      </c>
      <c r="C12" s="24" t="s">
        <v>194</v>
      </c>
    </row>
    <row r="13" spans="1:6" x14ac:dyDescent="0.35">
      <c r="A13" s="8" t="s">
        <v>195</v>
      </c>
      <c r="B13" s="21">
        <v>10827901</v>
      </c>
      <c r="C13" s="24" t="s">
        <v>196</v>
      </c>
    </row>
    <row r="14" spans="1:6" x14ac:dyDescent="0.35">
      <c r="A14" s="4" t="s">
        <v>197</v>
      </c>
      <c r="B14" s="21">
        <v>9592754</v>
      </c>
      <c r="C14" s="24" t="s">
        <v>198</v>
      </c>
    </row>
    <row r="15" spans="1:6" x14ac:dyDescent="0.35">
      <c r="A15" s="4" t="s">
        <v>199</v>
      </c>
      <c r="B15" s="21">
        <v>8825334</v>
      </c>
      <c r="C15" s="24" t="s">
        <v>200</v>
      </c>
    </row>
    <row r="17" spans="1:4" ht="31" customHeight="1" x14ac:dyDescent="0.35">
      <c r="A17" s="23" t="s">
        <v>201</v>
      </c>
      <c r="B17" s="23"/>
      <c r="C17" s="23"/>
      <c r="D17" s="23"/>
    </row>
  </sheetData>
  <mergeCells count="2">
    <mergeCell ref="A2:F2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Options</vt:lpstr>
      <vt:lpstr>Inputs</vt:lpstr>
      <vt:lpstr>Sensitivity</vt:lpstr>
      <vt:lpstr>Levers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Jed Van Iersel</cp:lastModifiedBy>
  <cp:revision>1</cp:revision>
  <dcterms:created xsi:type="dcterms:W3CDTF">2026-08-20T18:45:51Z</dcterms:created>
  <dcterms:modified xsi:type="dcterms:W3CDTF">2026-08-20T19:48:26Z</dcterms:modified>
  <dc:language>en-US</dc:language>
</cp:coreProperties>
</file>